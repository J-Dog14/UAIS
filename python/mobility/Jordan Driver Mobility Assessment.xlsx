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2625" sheetId="1" r:id="rId4"/>
    <sheet state="visible" name="RAST" sheetId="2" r:id="rId5"/>
    <sheet state="visible" name="Proteus" sheetId="3" r:id="rId6"/>
    <sheet state="visible" name="Timeline" sheetId="4" r:id="rId7"/>
  </sheets>
  <definedNames/>
  <calcPr/>
</workbook>
</file>

<file path=xl/sharedStrings.xml><?xml version="1.0" encoding="utf-8"?>
<sst xmlns="http://schemas.openxmlformats.org/spreadsheetml/2006/main" count="120" uniqueCount="115">
  <si>
    <t>ASSESSMENT KEY</t>
  </si>
  <si>
    <t>Name: Jordan Driver</t>
  </si>
  <si>
    <t>Height: 5' 10''</t>
  </si>
  <si>
    <t>Gmail: jbird27591@gmail.com</t>
  </si>
  <si>
    <t>Birthday: 5/10/2007</t>
  </si>
  <si>
    <t>Weight: 172</t>
  </si>
  <si>
    <t>RHP</t>
  </si>
  <si>
    <t>EXERCISE</t>
  </si>
  <si>
    <t xml:space="preserve">COLOR OR NUMBERS </t>
  </si>
  <si>
    <t>Force Plate Assessment</t>
  </si>
  <si>
    <t>NOTES</t>
  </si>
  <si>
    <t>Cervical-rotation</t>
  </si>
  <si>
    <t>Oblique Mild</t>
  </si>
  <si>
    <t>Cervical-flexion</t>
  </si>
  <si>
    <t>Low back pain</t>
  </si>
  <si>
    <t>Cervical-extension</t>
  </si>
  <si>
    <t>Cervical- lateral flexion</t>
  </si>
  <si>
    <t>Shoulder Total Arc</t>
  </si>
  <si>
    <t>Horizontal Abduction</t>
  </si>
  <si>
    <t>Back to Wall Shoulder Flexion</t>
  </si>
  <si>
    <t>Pelvic Tilt Against Wall</t>
  </si>
  <si>
    <t xml:space="preserve">Medical and Injury History </t>
  </si>
  <si>
    <t>Shoulder stability-flexion</t>
  </si>
  <si>
    <t>Shoulder stability- abduction</t>
  </si>
  <si>
    <t>Shoulder stability-ER at 0 deg. horiz. abuduction</t>
  </si>
  <si>
    <t>Shoulder stability-IR at 0 deg. horiz. abduction</t>
  </si>
  <si>
    <t>Elbow-extension (ROM)</t>
  </si>
  <si>
    <t>Elbow-flexion (ROM)</t>
  </si>
  <si>
    <t>Elbow-pronation (ROM)</t>
  </si>
  <si>
    <t>Elbow-supination (ROM)</t>
  </si>
  <si>
    <t>Radial Nerve Glide</t>
  </si>
  <si>
    <t>Ulnar Nerve Glide</t>
  </si>
  <si>
    <t>Grip Strength (R)</t>
  </si>
  <si>
    <t xml:space="preserve">GS (L) </t>
  </si>
  <si>
    <t>Grip Strength (R) at 90</t>
  </si>
  <si>
    <t>GS (L)  at 90</t>
  </si>
  <si>
    <t>Backbend</t>
  </si>
  <si>
    <t>Ankle dorsiflextion to wall</t>
  </si>
  <si>
    <t>Ankle Manual Test</t>
  </si>
  <si>
    <t>Sittiing T-spine PVC (R)</t>
  </si>
  <si>
    <t>Sittiing T-spine PVC (L)</t>
  </si>
  <si>
    <t>Slump Test</t>
  </si>
  <si>
    <t>Thomas Test (Hip Flexor) R</t>
  </si>
  <si>
    <t>Thomas Test (Hip Flexor) L</t>
  </si>
  <si>
    <t>Hamstring Stretch</t>
  </si>
  <si>
    <t>Shoulder IR</t>
  </si>
  <si>
    <t>Shoulder ER</t>
  </si>
  <si>
    <t>Supine Shoulder Flexion</t>
  </si>
  <si>
    <t>Young Stretch + Passive</t>
  </si>
  <si>
    <t>Hip Pinch</t>
  </si>
  <si>
    <t>R Prone Hip IR</t>
  </si>
  <si>
    <t>R Prone Hip ER</t>
  </si>
  <si>
    <t>L Prone Hip IR</t>
  </si>
  <si>
    <t>L Prone Hip ER</t>
  </si>
  <si>
    <t>Prone Hamstring Raise</t>
  </si>
  <si>
    <t>Glute Strength Test (Prone Hammy Push)</t>
  </si>
  <si>
    <t>Mid Trap</t>
  </si>
  <si>
    <t>Low Trap</t>
  </si>
  <si>
    <t>Knee circum</t>
  </si>
  <si>
    <t>Wrist circum</t>
  </si>
  <si>
    <t>Radius Length</t>
  </si>
  <si>
    <t>Dom Hand Middle Finger length</t>
  </si>
  <si>
    <t>ASIS Width</t>
  </si>
  <si>
    <t>Coracoid process width</t>
  </si>
  <si>
    <t>Mass (kg)</t>
  </si>
  <si>
    <t>Sprint 1 time</t>
  </si>
  <si>
    <t>Sprint 2 time</t>
  </si>
  <si>
    <t xml:space="preserve">Sprint 3 time </t>
  </si>
  <si>
    <t xml:space="preserve">Sprint 4 time </t>
  </si>
  <si>
    <t>Sprint 5 time</t>
  </si>
  <si>
    <t xml:space="preserve">Sprint 6 time </t>
  </si>
  <si>
    <t>Peak Power Output 1</t>
  </si>
  <si>
    <t>PPO 2</t>
  </si>
  <si>
    <t>PPO 3</t>
  </si>
  <si>
    <t>PPO 4</t>
  </si>
  <si>
    <t>PPO 5</t>
  </si>
  <si>
    <t>PPO 6</t>
  </si>
  <si>
    <t>Max Power</t>
  </si>
  <si>
    <t>Min Power</t>
  </si>
  <si>
    <t>Avg Power</t>
  </si>
  <si>
    <t xml:space="preserve">Fatigue Index </t>
  </si>
  <si>
    <t>Relative Peak Power</t>
  </si>
  <si>
    <t>Anaerobic Capacity</t>
  </si>
  <si>
    <t>DATE</t>
  </si>
  <si>
    <t>Lower Body Vertical Push</t>
  </si>
  <si>
    <t>Power</t>
  </si>
  <si>
    <t>Acceleration</t>
  </si>
  <si>
    <t>Upper Body Diagonal Push</t>
  </si>
  <si>
    <t>Full Body Rotation</t>
  </si>
  <si>
    <t>Overall Power</t>
  </si>
  <si>
    <t>Overall Accerleration</t>
  </si>
  <si>
    <t>Pitcher Name</t>
  </si>
  <si>
    <t>Team</t>
  </si>
  <si>
    <t>Innings Pitched</t>
  </si>
  <si>
    <t>Areas of Concern/Injury</t>
  </si>
  <si>
    <t>John Doe</t>
  </si>
  <si>
    <t>Collegiate</t>
  </si>
  <si>
    <t>Month</t>
  </si>
  <si>
    <t>Reconditioning</t>
  </si>
  <si>
    <t>Hypertrophy</t>
  </si>
  <si>
    <t>Strength</t>
  </si>
  <si>
    <t>Speed</t>
  </si>
  <si>
    <t>Notes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</si>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</sst>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22.0"/>
      <color theme="1"/>
      <name val="Arial"/>
    </font>
    <font/>
    <font>
      <color theme="1"/>
      <name val="Arial"/>
    </font>
    <font>
      <b/>
      <i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rgb="FF171717"/>
      <name val="Haas Grot Text Web"/>
    </font>
    <font>
      <color rgb="FF171717"/>
      <name val="Arial"/>
    </font>
    <font>
      <b/>
      <color theme="1"/>
      <name val="Arial"/>
      <scheme val="minor"/>
    </font>
    <font>
      <sz val="10.0"/>
      <color rgb="FF171717"/>
      <name val="Arial"/>
      <scheme val="minor"/>
    </font>
    <font>
      <b/>
      <sz val="8.0"/>
      <color rgb="FFFFFFFF"/>
      <name val="Calibri"/>
    </font>
    <font>
      <sz val="8.0"/>
      <color rgb="FF000000"/>
      <name val="Calibri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3F6CAF"/>
        <bgColor rgb="FF3F6CAF"/>
      </patternFill>
    </fill>
    <fill>
      <patternFill patternType="solid">
        <fgColor rgb="FF000000"/>
        <bgColor rgb="FF000000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9A9A9A"/>
      </left>
      <top style="thin">
        <color rgb="FF000000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bottom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10" fillId="3" fontId="4" numFmtId="0" xfId="0" applyAlignment="1" applyBorder="1" applyFont="1">
      <alignment horizontal="center" readingOrder="0" shrinkToFit="0" vertical="bottom" wrapText="1"/>
    </xf>
    <xf borderId="10" fillId="4" fontId="5" numFmtId="0" xfId="0" applyAlignment="1" applyBorder="1" applyFill="1" applyFont="1">
      <alignment horizontal="center" vertical="center"/>
    </xf>
    <xf borderId="11" fillId="0" fontId="2" numFmtId="0" xfId="0" applyBorder="1" applyFont="1"/>
    <xf borderId="9" fillId="2" fontId="3" numFmtId="0" xfId="0" applyAlignment="1" applyBorder="1" applyFont="1">
      <alignment horizontal="center" vertical="bottom"/>
    </xf>
    <xf borderId="9" fillId="2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9" fillId="2" fontId="3" numFmtId="0" xfId="0" applyAlignment="1" applyBorder="1" applyFont="1">
      <alignment horizontal="center" shrinkToFit="0" vertical="bottom" wrapText="1"/>
    </xf>
    <xf borderId="0" fillId="2" fontId="6" numFmtId="0" xfId="0" applyAlignment="1" applyFont="1">
      <alignment readingOrder="0"/>
    </xf>
    <xf borderId="9" fillId="0" fontId="3" numFmtId="0" xfId="0" applyAlignment="1" applyBorder="1" applyFont="1">
      <alignment horizontal="center" shrinkToFit="0" vertical="bottom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bottom" wrapText="1"/>
    </xf>
    <xf borderId="0" fillId="2" fontId="3" numFmtId="0" xfId="0" applyAlignment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shrinkToFit="0" vertical="center" wrapText="1"/>
    </xf>
    <xf borderId="9" fillId="0" fontId="6" numFmtId="0" xfId="0" applyBorder="1" applyFont="1"/>
    <xf borderId="12" fillId="2" fontId="3" numFmtId="0" xfId="0" applyAlignment="1" applyBorder="1" applyFont="1">
      <alignment horizontal="center" readingOrder="0" shrinkToFit="0" vertical="bottom" wrapText="1"/>
    </xf>
    <xf borderId="9" fillId="2" fontId="6" numFmtId="0" xfId="0" applyAlignment="1" applyBorder="1" applyFont="1">
      <alignment readingOrder="0"/>
    </xf>
    <xf borderId="9" fillId="2" fontId="3" numFmtId="0" xfId="0" applyAlignment="1" applyBorder="1" applyFont="1">
      <alignment horizontal="left" readingOrder="0" shrinkToFit="0" vertical="bottom" wrapText="1"/>
    </xf>
    <xf borderId="9" fillId="0" fontId="3" numFmtId="0" xfId="0" applyAlignment="1" applyBorder="1" applyFont="1">
      <alignment horizontal="left" shrinkToFit="0" vertical="bottom" wrapText="1"/>
    </xf>
    <xf borderId="9" fillId="0" fontId="3" numFmtId="0" xfId="0" applyAlignment="1" applyBorder="1" applyFont="1">
      <alignment horizontal="left" readingOrder="0" shrinkToFit="0" vertical="bottom" wrapText="1"/>
    </xf>
    <xf borderId="9" fillId="2" fontId="3" numFmtId="0" xfId="0" applyAlignment="1" applyBorder="1" applyFont="1">
      <alignment horizontal="left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5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center" vertical="bottom"/>
    </xf>
    <xf borderId="14" fillId="0" fontId="2" numFmtId="0" xfId="0" applyBorder="1" applyFont="1"/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3" fillId="0" fontId="7" numFmtId="0" xfId="0" applyAlignment="1" applyBorder="1" applyFont="1">
      <alignment horizontal="center" vertical="bottom"/>
    </xf>
    <xf borderId="5" fillId="2" fontId="8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6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9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6" fillId="0" fontId="6" numFmtId="0" xfId="0" applyBorder="1" applyFont="1"/>
    <xf borderId="8" fillId="0" fontId="6" numFmtId="0" xfId="0" applyAlignment="1" applyBorder="1" applyFont="1">
      <alignment readingOrder="0"/>
    </xf>
    <xf borderId="3" fillId="0" fontId="10" numFmtId="0" xfId="0" applyAlignment="1" applyBorder="1" applyFont="1">
      <alignment horizontal="left" readingOrder="0"/>
    </xf>
    <xf borderId="8" fillId="0" fontId="10" numFmtId="0" xfId="0" applyAlignment="1" applyBorder="1" applyFont="1">
      <alignment horizontal="left" readingOrder="0"/>
    </xf>
    <xf borderId="15" fillId="5" fontId="11" numFmtId="0" xfId="0" applyAlignment="1" applyBorder="1" applyFill="1" applyFont="1">
      <alignment horizontal="center" readingOrder="0"/>
    </xf>
    <xf borderId="16" fillId="5" fontId="11" numFmtId="0" xfId="0" applyAlignment="1" applyBorder="1" applyFont="1">
      <alignment horizontal="center" readingOrder="0"/>
    </xf>
    <xf borderId="9" fillId="5" fontId="11" numFmtId="0" xfId="0" applyAlignment="1" applyBorder="1" applyFont="1">
      <alignment horizontal="center" readingOrder="0"/>
    </xf>
    <xf borderId="17" fillId="0" fontId="12" numFmtId="0" xfId="0" applyAlignment="1" applyBorder="1" applyFont="1">
      <alignment horizontal="center" readingOrder="0" vertical="bottom"/>
    </xf>
    <xf borderId="18" fillId="0" fontId="12" numFmtId="0" xfId="0" applyAlignment="1" applyBorder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bottom"/>
    </xf>
    <xf borderId="11" fillId="5" fontId="11" numFmtId="0" xfId="0" applyAlignment="1" applyBorder="1" applyFont="1">
      <alignment horizontal="center" readingOrder="0"/>
    </xf>
    <xf borderId="19" fillId="5" fontId="11" numFmtId="0" xfId="0" applyAlignment="1" applyBorder="1" applyFont="1">
      <alignment horizontal="center" readingOrder="0"/>
    </xf>
    <xf borderId="17" fillId="6" fontId="12" numFmtId="0" xfId="0" applyAlignment="1" applyBorder="1" applyFill="1" applyFont="1">
      <alignment readingOrder="0" vertical="bottom"/>
    </xf>
    <xf borderId="17" fillId="0" fontId="12" numFmtId="0" xfId="0" applyAlignment="1" applyBorder="1" applyFont="1">
      <alignment readingOrder="0" vertical="bottom"/>
    </xf>
    <xf borderId="20" fillId="0" fontId="13" numFmtId="0" xfId="0" applyAlignment="1" applyBorder="1" applyFont="1">
      <alignment vertical="bottom"/>
    </xf>
    <xf borderId="0" fillId="2" fontId="11" numFmtId="0" xfId="0" applyAlignment="1" applyFont="1">
      <alignment horizontal="center" readingOrder="0"/>
    </xf>
    <xf borderId="0" fillId="2" fontId="12" numFmtId="0" xfId="0" applyAlignment="1" applyFont="1">
      <alignment readingOrder="0" vertical="bottom"/>
    </xf>
    <xf borderId="0" fillId="2" fontId="13" numFmtId="0" xfId="0" applyAlignment="1" applyFont="1">
      <alignment vertical="bottom"/>
    </xf>
    <xf borderId="21" fillId="0" fontId="12" numFmtId="0" xfId="0" applyAlignment="1" applyBorder="1" applyFont="1">
      <alignment readingOrder="0" vertical="bottom"/>
    </xf>
    <xf borderId="22" fillId="0" fontId="13" numFmtId="0" xfId="0" applyAlignment="1" applyBorder="1" applyFont="1">
      <alignment vertical="bottom"/>
    </xf>
    <xf borderId="9" fillId="2" fontId="12" numFmtId="0" xfId="0" applyAlignment="1" applyBorder="1" applyFont="1">
      <alignment readingOrder="0" vertical="bottom"/>
    </xf>
    <xf borderId="9" fillId="2" fontId="13" numFmtId="0" xfId="0" applyAlignment="1" applyBorder="1" applyFont="1">
      <alignment vertical="bottom"/>
    </xf>
    <xf borderId="18" fillId="2" fontId="12" numFmtId="0" xfId="0" applyAlignment="1" applyBorder="1" applyFont="1">
      <alignment readingOrder="0" vertical="bottom"/>
    </xf>
    <xf borderId="9" fillId="2" fontId="6" numFmtId="0" xfId="0" applyBorder="1" applyFont="1"/>
    <xf borderId="23" fillId="2" fontId="12" numFmtId="0" xfId="0" applyAlignment="1" applyBorder="1" applyFont="1">
      <alignment readingOrder="0"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0.5"/>
    <col customWidth="1" min="3" max="3" width="66.13"/>
    <col customWidth="1" min="4" max="4" width="50.38"/>
    <col customWidth="1" min="5" max="5" width="4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"/>
      <c r="B5" s="8"/>
      <c r="C5" s="8"/>
      <c r="D5" s="8"/>
      <c r="E5" s="8"/>
      <c r="F5" s="8"/>
      <c r="G5" s="8"/>
      <c r="H5" s="8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0" t="s">
        <v>1</v>
      </c>
      <c r="B6" s="10" t="s">
        <v>2</v>
      </c>
      <c r="C6" s="10" t="s">
        <v>3</v>
      </c>
      <c r="D6" s="10"/>
      <c r="E6" s="10"/>
      <c r="F6" s="11"/>
      <c r="G6" s="11"/>
      <c r="H6" s="11"/>
      <c r="I6" s="1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0" t="s">
        <v>4</v>
      </c>
      <c r="B7" s="10" t="s">
        <v>5</v>
      </c>
      <c r="C7" s="10" t="s">
        <v>6</v>
      </c>
      <c r="D7" s="10"/>
      <c r="E7" s="10"/>
      <c r="F7" s="11"/>
      <c r="G7" s="11"/>
      <c r="H7" s="11"/>
      <c r="I7" s="1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 t="s">
        <v>7</v>
      </c>
      <c r="B8" s="12" t="s">
        <v>8</v>
      </c>
      <c r="C8" s="13" t="s">
        <v>9</v>
      </c>
      <c r="D8" s="12"/>
      <c r="E8" s="12" t="s">
        <v>10</v>
      </c>
      <c r="F8" s="11"/>
      <c r="G8" s="11"/>
      <c r="H8" s="11"/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4"/>
      <c r="C9" s="14"/>
      <c r="D9" s="14"/>
      <c r="E9" s="14"/>
      <c r="F9" s="11"/>
      <c r="G9" s="11"/>
      <c r="H9" s="11"/>
      <c r="I9" s="1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5" t="s">
        <v>11</v>
      </c>
      <c r="B10" s="16">
        <v>3.0</v>
      </c>
      <c r="C10" s="17" t="s">
        <v>12</v>
      </c>
      <c r="D10" s="17"/>
      <c r="E10" s="1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5" t="s">
        <v>13</v>
      </c>
      <c r="B11" s="16">
        <v>3.0</v>
      </c>
      <c r="C11" s="17" t="s">
        <v>14</v>
      </c>
      <c r="D11" s="17"/>
      <c r="E11" s="1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8" t="s">
        <v>15</v>
      </c>
      <c r="B12" s="16">
        <v>3.0</v>
      </c>
      <c r="C12" s="17"/>
      <c r="D12" s="17"/>
      <c r="E12" s="1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5" t="s">
        <v>16</v>
      </c>
      <c r="B13" s="16">
        <v>3.0</v>
      </c>
      <c r="C13" s="17"/>
      <c r="D13" s="17"/>
      <c r="E13" s="1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9" t="s">
        <v>17</v>
      </c>
      <c r="B14" s="16">
        <v>3.0</v>
      </c>
      <c r="C14" s="17"/>
      <c r="D14" s="17"/>
      <c r="E14" s="1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0" t="s">
        <v>18</v>
      </c>
      <c r="B15" s="21">
        <v>2.0</v>
      </c>
      <c r="C15" s="17"/>
      <c r="D15" s="17"/>
      <c r="E15" s="2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5" t="s">
        <v>19</v>
      </c>
      <c r="B16" s="16">
        <v>2.0</v>
      </c>
      <c r="D16" s="17"/>
      <c r="E16" s="1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6" t="s">
        <v>20</v>
      </c>
      <c r="B17" s="16">
        <v>1.0</v>
      </c>
      <c r="C17" s="23" t="s">
        <v>21</v>
      </c>
      <c r="D17" s="17"/>
      <c r="E17" s="2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8" t="s">
        <v>22</v>
      </c>
      <c r="B18" s="16">
        <v>3.0</v>
      </c>
      <c r="C18" s="17"/>
      <c r="D18" s="17"/>
      <c r="E18" s="2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8" t="s">
        <v>23</v>
      </c>
      <c r="B19" s="16">
        <v>3.0</v>
      </c>
      <c r="C19" s="24"/>
      <c r="D19" s="17"/>
      <c r="E19" s="2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25" t="s">
        <v>24</v>
      </c>
      <c r="B20" s="16">
        <v>3.0</v>
      </c>
      <c r="D20" s="17"/>
      <c r="E20" s="2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26" t="s">
        <v>25</v>
      </c>
      <c r="B21" s="16">
        <v>3.0</v>
      </c>
      <c r="D21" s="17"/>
      <c r="E21" s="2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6" t="s">
        <v>26</v>
      </c>
      <c r="B22" s="16">
        <v>2.0</v>
      </c>
      <c r="C22" s="27"/>
      <c r="D22" s="17"/>
      <c r="E22" s="2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6" t="s">
        <v>27</v>
      </c>
      <c r="B23" s="16">
        <v>3.0</v>
      </c>
      <c r="C23" s="6"/>
      <c r="D23" s="17"/>
      <c r="E23" s="2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6" t="s">
        <v>28</v>
      </c>
      <c r="B24" s="16">
        <v>3.0</v>
      </c>
      <c r="C24" s="9"/>
      <c r="D24" s="17"/>
      <c r="E24" s="2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6" t="s">
        <v>29</v>
      </c>
      <c r="B25" s="16">
        <v>3.0</v>
      </c>
      <c r="C25" s="17"/>
      <c r="D25" s="17"/>
      <c r="E25" s="2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6" t="s">
        <v>30</v>
      </c>
      <c r="B26" s="16">
        <v>3.0</v>
      </c>
      <c r="C26" s="22"/>
      <c r="D26" s="22"/>
      <c r="E26" s="2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6" t="s">
        <v>31</v>
      </c>
      <c r="B27" s="16">
        <v>3.0</v>
      </c>
      <c r="C27" s="22"/>
      <c r="D27" s="22"/>
      <c r="E27" s="2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0" t="s">
        <v>32</v>
      </c>
      <c r="B28" s="16">
        <v>90.0</v>
      </c>
      <c r="C28" s="22"/>
      <c r="D28" s="22"/>
      <c r="E28" s="2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0" t="s">
        <v>33</v>
      </c>
      <c r="B29" s="16">
        <v>70.0</v>
      </c>
      <c r="C29" s="22"/>
      <c r="D29" s="22"/>
      <c r="E29" s="2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6" t="s">
        <v>34</v>
      </c>
      <c r="B30" s="16">
        <v>90.0</v>
      </c>
      <c r="C30" s="22"/>
      <c r="D30" s="22"/>
      <c r="E30" s="2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6" t="s">
        <v>35</v>
      </c>
      <c r="B31" s="16">
        <v>76.0</v>
      </c>
      <c r="C31" s="22"/>
      <c r="D31" s="22"/>
      <c r="E31" s="2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6" t="s">
        <v>36</v>
      </c>
      <c r="B32" s="16">
        <v>3.0</v>
      </c>
      <c r="C32" s="22"/>
      <c r="D32" s="22"/>
      <c r="E32" s="2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0" t="s">
        <v>37</v>
      </c>
      <c r="B33" s="16">
        <v>1.0</v>
      </c>
      <c r="C33" s="22"/>
      <c r="D33" s="22"/>
      <c r="E33" s="2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6" t="s">
        <v>38</v>
      </c>
      <c r="B34" s="16">
        <v>3.0</v>
      </c>
      <c r="C34" s="22"/>
      <c r="D34" s="22"/>
      <c r="E34" s="2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6" t="s">
        <v>39</v>
      </c>
      <c r="B35" s="16">
        <v>1.0</v>
      </c>
      <c r="C35" s="22"/>
      <c r="D35" s="22"/>
      <c r="E35" s="2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6" t="s">
        <v>40</v>
      </c>
      <c r="B36" s="29">
        <v>2.0</v>
      </c>
      <c r="C36" s="22"/>
      <c r="D36" s="22"/>
      <c r="E36" s="2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6" t="s">
        <v>41</v>
      </c>
      <c r="B37" s="16">
        <v>3.0</v>
      </c>
      <c r="C37" s="22"/>
      <c r="D37" s="22"/>
      <c r="E37" s="2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6" t="s">
        <v>42</v>
      </c>
      <c r="B38" s="16">
        <v>2.0</v>
      </c>
      <c r="C38" s="22"/>
      <c r="D38" s="22"/>
      <c r="E38" s="2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6" t="s">
        <v>43</v>
      </c>
      <c r="B39" s="16">
        <v>2.0</v>
      </c>
      <c r="C39" s="22"/>
      <c r="D39" s="22"/>
      <c r="E39" s="2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6" t="s">
        <v>44</v>
      </c>
      <c r="B40" s="30">
        <v>3.0</v>
      </c>
      <c r="C40" s="22"/>
      <c r="D40" s="22"/>
      <c r="E40" s="2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0" t="s">
        <v>45</v>
      </c>
      <c r="B41" s="30">
        <v>36.0</v>
      </c>
      <c r="C41" s="22"/>
      <c r="D41" s="22"/>
      <c r="E41" s="2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6" t="s">
        <v>46</v>
      </c>
      <c r="B42" s="16">
        <v>110.0</v>
      </c>
      <c r="C42" s="22"/>
      <c r="D42" s="22"/>
      <c r="E42" s="2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0" t="s">
        <v>47</v>
      </c>
      <c r="B43" s="16">
        <v>3.0</v>
      </c>
      <c r="C43" s="22"/>
      <c r="D43" s="22"/>
      <c r="E43" s="2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0" t="s">
        <v>48</v>
      </c>
      <c r="B44" s="29">
        <v>2.0</v>
      </c>
      <c r="C44" s="22"/>
      <c r="D44" s="22"/>
      <c r="E44" s="2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6" t="s">
        <v>49</v>
      </c>
      <c r="B45" s="16">
        <v>3.0</v>
      </c>
      <c r="C45" s="22"/>
      <c r="D45" s="22"/>
      <c r="E45" s="2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6" t="s">
        <v>50</v>
      </c>
      <c r="B46" s="21">
        <v>2.0</v>
      </c>
      <c r="C46" s="22"/>
      <c r="D46" s="22"/>
      <c r="E46" s="2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6" t="s">
        <v>51</v>
      </c>
      <c r="B47" s="16">
        <v>3.0</v>
      </c>
      <c r="C47" s="17"/>
      <c r="D47" s="22"/>
      <c r="E47" s="1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20" t="s">
        <v>52</v>
      </c>
      <c r="B48" s="16">
        <v>2.0</v>
      </c>
      <c r="C48" s="22"/>
      <c r="D48" s="22"/>
      <c r="E48" s="2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20" t="s">
        <v>53</v>
      </c>
      <c r="B49" s="31">
        <v>3.0</v>
      </c>
      <c r="C49" s="22"/>
      <c r="D49" s="32"/>
      <c r="E49" s="2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20" t="s">
        <v>54</v>
      </c>
      <c r="B50" s="31">
        <v>3.0</v>
      </c>
      <c r="C50" s="22"/>
      <c r="D50" s="33"/>
      <c r="E50" s="2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20" t="s">
        <v>55</v>
      </c>
      <c r="B51" s="31">
        <v>3.0</v>
      </c>
      <c r="C51" s="22"/>
      <c r="D51" s="33"/>
      <c r="E51" s="2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6" t="s">
        <v>56</v>
      </c>
      <c r="B52" s="31">
        <v>2.0</v>
      </c>
      <c r="C52" s="22"/>
      <c r="D52" s="32"/>
      <c r="E52" s="2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6" t="s">
        <v>57</v>
      </c>
      <c r="B53" s="31">
        <v>3.0</v>
      </c>
      <c r="C53" s="22"/>
      <c r="D53" s="2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6" t="s">
        <v>58</v>
      </c>
      <c r="B54" s="34"/>
      <c r="C54" s="22"/>
      <c r="D54" s="2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8.25" customHeight="1">
      <c r="A55" s="35" t="s">
        <v>59</v>
      </c>
      <c r="B55" s="36"/>
      <c r="C55" s="1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8.25" customHeight="1">
      <c r="A56" s="35" t="s">
        <v>60</v>
      </c>
      <c r="B56" s="3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5" t="s">
        <v>61</v>
      </c>
      <c r="B57" s="3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7" t="s">
        <v>62</v>
      </c>
      <c r="B58" s="3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37" t="s">
        <v>63</v>
      </c>
      <c r="B59" s="36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3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2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3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3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3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3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3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3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3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2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3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2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3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3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3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3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3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2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3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2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2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3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3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3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2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2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2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2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</sheetData>
  <mergeCells count="7">
    <mergeCell ref="A1:I5"/>
    <mergeCell ref="A8:A9"/>
    <mergeCell ref="B8:B9"/>
    <mergeCell ref="C8:C9"/>
    <mergeCell ref="D8:D9"/>
    <mergeCell ref="E8:E9"/>
    <mergeCell ref="C22:C24"/>
  </mergeCells>
  <conditionalFormatting sqref="B10:B53">
    <cfRule type="cellIs" dxfId="0" priority="1" operator="equal">
      <formula>1</formula>
    </cfRule>
  </conditionalFormatting>
  <conditionalFormatting sqref="B10:B53">
    <cfRule type="cellIs" dxfId="1" priority="2" operator="equal">
      <formula>2</formula>
    </cfRule>
  </conditionalFormatting>
  <conditionalFormatting sqref="B10:B53">
    <cfRule type="cellIs" dxfId="2" priority="3" operator="equal">
      <formula>3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40" t="s">
        <v>64</v>
      </c>
      <c r="B1" s="40"/>
    </row>
    <row r="2">
      <c r="A2" s="40" t="s">
        <v>65</v>
      </c>
      <c r="B2" s="40"/>
    </row>
    <row r="3">
      <c r="A3" s="40" t="s">
        <v>66</v>
      </c>
      <c r="B3" s="40"/>
    </row>
    <row r="4">
      <c r="A4" s="40" t="s">
        <v>67</v>
      </c>
      <c r="B4" s="40"/>
    </row>
    <row r="5">
      <c r="A5" s="40" t="s">
        <v>68</v>
      </c>
      <c r="B5" s="40"/>
    </row>
    <row r="6">
      <c r="A6" s="40" t="s">
        <v>69</v>
      </c>
      <c r="B6" s="40"/>
    </row>
    <row r="7">
      <c r="A7" s="40" t="s">
        <v>70</v>
      </c>
      <c r="B7" s="40"/>
    </row>
    <row r="8">
      <c r="A8" s="40" t="s">
        <v>71</v>
      </c>
      <c r="B8" s="41" t="str">
        <f>B1*35^2/B2^3</f>
        <v>#DIV/0!</v>
      </c>
    </row>
    <row r="9">
      <c r="A9" s="40" t="s">
        <v>72</v>
      </c>
      <c r="B9" s="41" t="str">
        <f>B1*35^2/B3^3</f>
        <v>#DIV/0!</v>
      </c>
    </row>
    <row r="10">
      <c r="A10" s="40" t="s">
        <v>73</v>
      </c>
      <c r="B10" s="41" t="str">
        <f>B1*35^2/B4^3</f>
        <v>#DIV/0!</v>
      </c>
    </row>
    <row r="11">
      <c r="A11" s="40" t="s">
        <v>74</v>
      </c>
      <c r="B11" s="41" t="str">
        <f>B1*35^2/B5^3</f>
        <v>#DIV/0!</v>
      </c>
    </row>
    <row r="12">
      <c r="A12" s="40" t="s">
        <v>75</v>
      </c>
      <c r="B12" s="41" t="str">
        <f>B1*35^2/B6^3</f>
        <v>#DIV/0!</v>
      </c>
    </row>
    <row r="13">
      <c r="A13" s="40" t="s">
        <v>76</v>
      </c>
      <c r="B13" s="41" t="str">
        <f>B1*35^2/B7^3</f>
        <v>#DIV/0!</v>
      </c>
    </row>
    <row r="14">
      <c r="A14" s="40"/>
    </row>
    <row r="15">
      <c r="A15" s="40" t="s">
        <v>77</v>
      </c>
      <c r="B15" s="40" t="str">
        <f>MAX(B8:B13)</f>
        <v>#DIV/0!</v>
      </c>
    </row>
    <row r="16">
      <c r="A16" s="40" t="s">
        <v>78</v>
      </c>
      <c r="B16" s="40" t="str">
        <f>MIN(B8:B13)</f>
        <v>#DIV/0!</v>
      </c>
    </row>
    <row r="17">
      <c r="A17" s="40" t="s">
        <v>79</v>
      </c>
      <c r="B17" s="41" t="str">
        <f>sum(B8:B13)/6</f>
        <v>#DIV/0!</v>
      </c>
    </row>
    <row r="18">
      <c r="A18" s="40" t="s">
        <v>80</v>
      </c>
      <c r="B18" s="41" t="str">
        <f>(B15-B16)/(B2+B3+B4+B5+B6+B7)</f>
        <v>#DIV/0!</v>
      </c>
    </row>
    <row r="19">
      <c r="A19" s="40" t="s">
        <v>81</v>
      </c>
      <c r="B19" s="41" t="str">
        <f>B8/B1</f>
        <v>#DIV/0!</v>
      </c>
    </row>
    <row r="20">
      <c r="A20" s="40" t="s">
        <v>82</v>
      </c>
      <c r="B20" s="41" t="str">
        <f>Sum(B8:B13)</f>
        <v>#DIV/0!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42" t="s">
        <v>83</v>
      </c>
      <c r="B1" s="3"/>
    </row>
    <row r="2">
      <c r="A2" s="43" t="s">
        <v>84</v>
      </c>
      <c r="B2" s="44"/>
    </row>
    <row r="3">
      <c r="A3" s="45" t="s">
        <v>85</v>
      </c>
      <c r="B3" s="46"/>
    </row>
    <row r="4">
      <c r="A4" s="45"/>
      <c r="B4" s="46"/>
    </row>
    <row r="5">
      <c r="A5" s="45" t="s">
        <v>86</v>
      </c>
      <c r="B5" s="46"/>
    </row>
    <row r="6">
      <c r="A6" s="45"/>
      <c r="B6" s="46"/>
    </row>
    <row r="7">
      <c r="A7" s="47" t="s">
        <v>87</v>
      </c>
      <c r="B7" s="44"/>
    </row>
    <row r="8">
      <c r="A8" s="45" t="s">
        <v>85</v>
      </c>
      <c r="B8" s="48"/>
    </row>
    <row r="9">
      <c r="A9" s="45"/>
      <c r="B9" s="48"/>
      <c r="D9" s="49"/>
      <c r="E9" s="49"/>
      <c r="F9" s="49"/>
    </row>
    <row r="10">
      <c r="A10" s="45" t="s">
        <v>86</v>
      </c>
      <c r="B10" s="48"/>
      <c r="D10" s="49"/>
      <c r="E10" s="49"/>
      <c r="F10" s="49"/>
    </row>
    <row r="11">
      <c r="A11" s="45"/>
      <c r="B11" s="48"/>
      <c r="D11" s="49"/>
      <c r="E11" s="49"/>
      <c r="F11" s="49"/>
    </row>
    <row r="12">
      <c r="A12" s="43" t="s">
        <v>88</v>
      </c>
      <c r="B12" s="44"/>
      <c r="D12" s="49"/>
      <c r="E12" s="49"/>
      <c r="F12" s="49"/>
    </row>
    <row r="13">
      <c r="A13" s="45" t="s">
        <v>85</v>
      </c>
      <c r="B13" s="46"/>
      <c r="D13" s="49"/>
      <c r="E13" s="49"/>
      <c r="F13" s="49"/>
    </row>
    <row r="14">
      <c r="A14" s="45"/>
      <c r="B14" s="46"/>
      <c r="D14" s="49"/>
      <c r="E14" s="49"/>
      <c r="F14" s="49"/>
    </row>
    <row r="15">
      <c r="A15" s="45" t="s">
        <v>86</v>
      </c>
      <c r="B15" s="46"/>
    </row>
    <row r="16">
      <c r="A16" s="50"/>
      <c r="B16" s="51"/>
    </row>
    <row r="17">
      <c r="A17" s="52" t="s">
        <v>89</v>
      </c>
      <c r="B17" s="53"/>
    </row>
    <row r="18">
      <c r="A18" s="54"/>
      <c r="B18" s="55"/>
    </row>
    <row r="19">
      <c r="A19" s="52" t="s">
        <v>90</v>
      </c>
      <c r="B19" s="56"/>
    </row>
    <row r="20">
      <c r="A20" s="54"/>
      <c r="B20" s="57"/>
    </row>
  </sheetData>
  <mergeCells count="4">
    <mergeCell ref="A1:B1"/>
    <mergeCell ref="A2:B2"/>
    <mergeCell ref="A7:B7"/>
    <mergeCell ref="A12:B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1.5"/>
    <col customWidth="1" min="3" max="3" width="11.0"/>
    <col customWidth="1" min="4" max="4" width="16.38"/>
  </cols>
  <sheetData>
    <row r="1">
      <c r="A1" s="58" t="s">
        <v>91</v>
      </c>
      <c r="B1" s="59" t="s">
        <v>92</v>
      </c>
      <c r="C1" s="59" t="s">
        <v>93</v>
      </c>
      <c r="D1" s="60" t="s">
        <v>94</v>
      </c>
    </row>
    <row r="2">
      <c r="A2" s="61" t="s">
        <v>95</v>
      </c>
      <c r="B2" s="61" t="s">
        <v>96</v>
      </c>
      <c r="C2" s="62">
        <v>120.0</v>
      </c>
      <c r="D2" s="63"/>
    </row>
    <row r="3">
      <c r="A3" s="59" t="s">
        <v>97</v>
      </c>
      <c r="B3" s="59" t="s">
        <v>98</v>
      </c>
      <c r="C3" s="59" t="s">
        <v>99</v>
      </c>
      <c r="D3" s="64" t="s">
        <v>100</v>
      </c>
      <c r="E3" s="64" t="s">
        <v>85</v>
      </c>
      <c r="F3" s="64" t="s">
        <v>101</v>
      </c>
      <c r="G3" s="65" t="s">
        <v>102</v>
      </c>
    </row>
    <row r="4">
      <c r="A4" s="66" t="s">
        <v>103</v>
      </c>
      <c r="B4" s="66"/>
      <c r="C4" s="66"/>
      <c r="D4" s="66"/>
      <c r="E4" s="66"/>
      <c r="F4" s="66"/>
      <c r="G4" s="66"/>
    </row>
    <row r="5">
      <c r="A5" s="67" t="s">
        <v>104</v>
      </c>
      <c r="B5" s="68"/>
      <c r="C5" s="68"/>
      <c r="D5" s="68"/>
      <c r="E5" s="68"/>
      <c r="F5" s="68"/>
      <c r="G5" s="68"/>
      <c r="H5" s="69"/>
      <c r="I5" s="69"/>
      <c r="J5" s="69"/>
      <c r="K5" s="69"/>
    </row>
    <row r="6">
      <c r="A6" s="67" t="s">
        <v>105</v>
      </c>
      <c r="B6" s="68"/>
      <c r="C6" s="68"/>
      <c r="D6" s="68"/>
      <c r="E6" s="68"/>
      <c r="F6" s="68"/>
      <c r="G6" s="68"/>
      <c r="H6" s="70"/>
      <c r="I6" s="70"/>
      <c r="J6" s="70"/>
      <c r="K6" s="70"/>
    </row>
    <row r="7">
      <c r="A7" s="67" t="s">
        <v>106</v>
      </c>
      <c r="B7" s="68"/>
      <c r="C7" s="68"/>
      <c r="D7" s="68"/>
      <c r="E7" s="68"/>
      <c r="F7" s="68"/>
      <c r="G7" s="68"/>
      <c r="H7" s="71"/>
      <c r="I7" s="71"/>
      <c r="J7" s="71"/>
      <c r="K7" s="71"/>
    </row>
    <row r="8">
      <c r="A8" s="67" t="s">
        <v>107</v>
      </c>
      <c r="B8" s="68"/>
      <c r="C8" s="68"/>
      <c r="D8" s="68"/>
      <c r="E8" s="68"/>
      <c r="F8" s="68"/>
      <c r="G8" s="68"/>
      <c r="H8" s="71"/>
      <c r="I8" s="71"/>
      <c r="J8" s="71"/>
      <c r="K8" s="71"/>
    </row>
    <row r="9">
      <c r="A9" s="72" t="s">
        <v>108</v>
      </c>
      <c r="B9" s="73"/>
      <c r="C9" s="73"/>
      <c r="D9" s="73"/>
      <c r="E9" s="73"/>
      <c r="F9" s="73"/>
      <c r="G9" s="73"/>
      <c r="H9" s="71"/>
      <c r="I9" s="71"/>
      <c r="J9" s="71"/>
      <c r="K9" s="71"/>
    </row>
    <row r="10">
      <c r="A10" s="74" t="s">
        <v>109</v>
      </c>
      <c r="B10" s="75"/>
      <c r="C10" s="75"/>
      <c r="D10" s="75"/>
      <c r="E10" s="75"/>
      <c r="F10" s="75"/>
      <c r="G10" s="75"/>
      <c r="H10" s="71"/>
      <c r="I10" s="71"/>
      <c r="J10" s="71"/>
      <c r="K10" s="71"/>
    </row>
    <row r="11">
      <c r="A11" s="76" t="s">
        <v>110</v>
      </c>
      <c r="B11" s="75"/>
      <c r="C11" s="75"/>
      <c r="D11" s="75"/>
      <c r="E11" s="75"/>
      <c r="F11" s="75"/>
      <c r="G11" s="75"/>
      <c r="H11" s="71"/>
      <c r="I11" s="71"/>
      <c r="J11" s="71"/>
      <c r="K11" s="71"/>
    </row>
    <row r="12">
      <c r="A12" s="76" t="s">
        <v>111</v>
      </c>
      <c r="B12" s="75"/>
      <c r="C12" s="75"/>
      <c r="D12" s="75"/>
      <c r="E12" s="75"/>
      <c r="F12" s="75"/>
      <c r="G12" s="75"/>
      <c r="H12" s="71"/>
      <c r="I12" s="71"/>
      <c r="J12" s="71"/>
      <c r="K12" s="71"/>
    </row>
    <row r="13">
      <c r="A13" s="76" t="s">
        <v>112</v>
      </c>
      <c r="B13" s="77"/>
      <c r="C13" s="77"/>
      <c r="D13" s="77"/>
      <c r="E13" s="77"/>
      <c r="F13" s="77"/>
      <c r="G13" s="77"/>
      <c r="H13" s="71"/>
      <c r="I13" s="71"/>
      <c r="J13" s="71"/>
      <c r="K13" s="71"/>
    </row>
    <row r="14">
      <c r="A14" s="78" t="s">
        <v>113</v>
      </c>
      <c r="B14" s="77"/>
      <c r="C14" s="77"/>
      <c r="D14" s="77"/>
      <c r="E14" s="77"/>
      <c r="F14" s="77"/>
      <c r="G14" s="77"/>
      <c r="H14" s="71"/>
      <c r="I14" s="71"/>
      <c r="J14" s="71"/>
      <c r="K14" s="71"/>
    </row>
    <row r="15">
      <c r="A15" s="74" t="s">
        <v>114</v>
      </c>
      <c r="B15" s="77"/>
      <c r="C15" s="77"/>
      <c r="D15" s="77"/>
      <c r="E15" s="77"/>
      <c r="F15" s="77"/>
      <c r="G15" s="77"/>
    </row>
    <row r="16">
      <c r="A16" s="79"/>
    </row>
    <row r="29">
      <c r="A29" s="79"/>
    </row>
    <row r="30">
      <c r="A30" s="79"/>
    </row>
    <row r="31">
      <c r="A31" s="79"/>
    </row>
    <row r="32">
      <c r="A32" s="79"/>
    </row>
    <row r="33">
      <c r="A33" s="79"/>
    </row>
    <row r="34">
      <c r="A34" s="79"/>
    </row>
    <row r="35">
      <c r="A35" s="79"/>
    </row>
    <row r="36">
      <c r="A36" s="79"/>
    </row>
  </sheetData>
  <drawing r:id="rId1"/>
</worksheet>
</file>